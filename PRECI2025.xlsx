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" sheetId="1" r:id="rId4"/>
    <sheet state="visible" name="CUSTO FIXO" sheetId="2" r:id="rId5"/>
  </sheets>
  <definedNames/>
  <calcPr/>
  <extLst>
    <ext uri="GoogleSheetsCustomDataVersion2">
      <go:sheetsCustomData xmlns:go="http://customooxmlschemas.google.com/" r:id="rId6" roundtripDataChecksum="T+pvoS0G4a82NfAmEQd05qGVHmLKyxQZWu9G5HoZjMw="/>
    </ext>
  </extLst>
</workbook>
</file>

<file path=xl/sharedStrings.xml><?xml version="1.0" encoding="utf-8"?>
<sst xmlns="http://schemas.openxmlformats.org/spreadsheetml/2006/main" count="69" uniqueCount="66">
  <si>
    <t>DOWNLOAD OU COPIA ANTES DE EDITAR</t>
  </si>
  <si>
    <t>MODELO</t>
  </si>
  <si>
    <t>STL</t>
  </si>
  <si>
    <t xml:space="preserve">TEMPO </t>
  </si>
  <si>
    <t>PESO</t>
  </si>
  <si>
    <t>CUSTO TOTAL</t>
  </si>
  <si>
    <t>MARKUP</t>
  </si>
  <si>
    <t>teste</t>
  </si>
  <si>
    <t>UNIDADES NA MESA</t>
  </si>
  <si>
    <t>CUSTO Un</t>
  </si>
  <si>
    <t>CUSTOS</t>
  </si>
  <si>
    <t>PRECIFICAÇÃO</t>
  </si>
  <si>
    <t>Matéria Prima</t>
  </si>
  <si>
    <t>Custo/kg</t>
  </si>
  <si>
    <t>Custo</t>
  </si>
  <si>
    <t>PREÇO CONSUMIDOR FINAL</t>
  </si>
  <si>
    <t>PREÇO LOJISTA</t>
  </si>
  <si>
    <t>ABS 3D VALE</t>
  </si>
  <si>
    <t>LUCRO BRUTO</t>
  </si>
  <si>
    <t>LUCRO LIQUIDO</t>
  </si>
  <si>
    <t>Impressora</t>
  </si>
  <si>
    <t>Potência</t>
  </si>
  <si>
    <t>K1C</t>
  </si>
  <si>
    <t>IMPOSTO</t>
  </si>
  <si>
    <t>Tx CARTÃO</t>
  </si>
  <si>
    <t>Gasto Energético</t>
  </si>
  <si>
    <t>Custo Kw/h</t>
  </si>
  <si>
    <t xml:space="preserve">Custo </t>
  </si>
  <si>
    <t>CUSTO DE ANÚNCIO</t>
  </si>
  <si>
    <t>MARKET PLACE</t>
  </si>
  <si>
    <t>Modalidade</t>
  </si>
  <si>
    <t>Porcentagem</t>
  </si>
  <si>
    <t>Custo Fixo</t>
  </si>
  <si>
    <t>Custo Total</t>
  </si>
  <si>
    <t>Acessórios e Embalagens</t>
  </si>
  <si>
    <t>Quanti</t>
  </si>
  <si>
    <t>Custo un</t>
  </si>
  <si>
    <t>Mercado Livre</t>
  </si>
  <si>
    <t>CLASSICO</t>
  </si>
  <si>
    <t>Embalagem</t>
  </si>
  <si>
    <t>Shopee</t>
  </si>
  <si>
    <t>FRETE GRATIS</t>
  </si>
  <si>
    <t>Cordão</t>
  </si>
  <si>
    <t>OBS: VALORES DE MARKET PLACE DEVEM SER ATUALIZADOS CONSTANTEMENTE</t>
  </si>
  <si>
    <t>Custo Fixo HORA</t>
  </si>
  <si>
    <t>CUSTO FIXO TOTAL</t>
  </si>
  <si>
    <t>TOTAL FIXO MENSAL</t>
  </si>
  <si>
    <t>Un PARA BATER FIXO</t>
  </si>
  <si>
    <t>Vida útil / horas</t>
  </si>
  <si>
    <t>Valor da máquina</t>
  </si>
  <si>
    <t>Amortização</t>
  </si>
  <si>
    <t>% DE FALHAS</t>
  </si>
  <si>
    <t xml:space="preserve">Custos </t>
  </si>
  <si>
    <t>Custo Hora</t>
  </si>
  <si>
    <t>Valor</t>
  </si>
  <si>
    <t>VALOR DIVIDIDO POR TOTAL DE HORA TRABALHO</t>
  </si>
  <si>
    <t>Luz</t>
  </si>
  <si>
    <t>Água</t>
  </si>
  <si>
    <t>Aluguel</t>
  </si>
  <si>
    <t>Site e plataformas</t>
  </si>
  <si>
    <t>Mei</t>
  </si>
  <si>
    <t>Fusion 360</t>
  </si>
  <si>
    <t>Adobe Creative</t>
  </si>
  <si>
    <t>Limpeza</t>
  </si>
  <si>
    <t>Diversos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</si>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</sst>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[$R$ -416]#,##0.00"/>
  </numFmts>
  <fonts count="17">
    <font>
      <sz val="10.0"/>
      <color rgb="FF000000"/>
      <name val="Arial"/>
      <scheme val="minor"/>
    </font>
    <font>
      <b/>
      <sz val="10.0"/>
      <color theme="1"/>
      <name val="Arial"/>
    </font>
    <font>
      <b/>
      <sz val="13.0"/>
      <color rgb="FFFFFFFF"/>
      <name val="Arial"/>
    </font>
    <font/>
    <font>
      <b/>
      <sz val="11.0"/>
      <color theme="1"/>
      <name val="Arial"/>
    </font>
    <font>
      <b/>
      <sz val="11.0"/>
      <color theme="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theme="0"/>
      <name val="Arial"/>
    </font>
    <font>
      <sz val="10.0"/>
      <color rgb="FF000000"/>
      <name val="Arial"/>
    </font>
    <font>
      <b/>
      <sz val="10.0"/>
      <color theme="0"/>
      <name val="Arial"/>
    </font>
    <font>
      <b/>
      <sz val="10.0"/>
      <color rgb="FFFFFFFF"/>
      <name val="Roboto"/>
    </font>
    <font>
      <b/>
      <sz val="10.0"/>
      <color theme="1"/>
      <name val="Roboto"/>
    </font>
    <font>
      <sz val="10.0"/>
      <color theme="1"/>
      <name val="Roboto"/>
    </font>
    <font>
      <sz val="10.0"/>
      <color rgb="FF000000"/>
      <name val="Roboto"/>
    </font>
    <font>
      <color theme="1"/>
      <name val="Arial"/>
      <scheme val="minor"/>
    </font>
    <font>
      <b/>
      <sz val="10.0"/>
      <color theme="0"/>
      <name val="Roboto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A5A5A5"/>
        <bgColor rgb="FFA5A5A5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/>
    </xf>
    <xf borderId="4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7" fillId="3" fontId="5" numFmtId="4" xfId="0" applyAlignment="1" applyBorder="1" applyFill="1" applyFont="1" applyNumberFormat="1">
      <alignment horizontal="left"/>
    </xf>
    <xf borderId="8" fillId="0" fontId="4" numFmtId="0" xfId="0" applyAlignment="1" applyBorder="1" applyFont="1">
      <alignment horizontal="left"/>
    </xf>
    <xf borderId="9" fillId="0" fontId="4" numFmtId="164" xfId="0" applyAlignment="1" applyBorder="1" applyFont="1" applyNumberFormat="1">
      <alignment horizontal="left"/>
    </xf>
    <xf borderId="9" fillId="0" fontId="4" numFmtId="0" xfId="0" applyAlignment="1" applyBorder="1" applyFont="1">
      <alignment horizontal="left"/>
    </xf>
    <xf borderId="10" fillId="0" fontId="6" numFmtId="0" xfId="0" applyAlignment="1" applyBorder="1" applyFont="1">
      <alignment horizontal="left"/>
    </xf>
    <xf borderId="11" fillId="0" fontId="6" numFmtId="4" xfId="0" applyAlignment="1" applyBorder="1" applyFont="1" applyNumberFormat="1">
      <alignment horizontal="left"/>
    </xf>
    <xf borderId="12" fillId="0" fontId="6" numFmtId="4" xfId="0" applyAlignment="1" applyBorder="1" applyFont="1" applyNumberFormat="1">
      <alignment horizontal="left"/>
    </xf>
    <xf borderId="0" fillId="0" fontId="6" numFmtId="0" xfId="0" applyAlignment="1" applyFont="1">
      <alignment horizontal="left"/>
    </xf>
    <xf borderId="8" fillId="0" fontId="4" numFmtId="0" xfId="0" applyBorder="1" applyFont="1"/>
    <xf borderId="9" fillId="0" fontId="4" numFmtId="165" xfId="0" applyAlignment="1" applyBorder="1" applyFont="1" applyNumberFormat="1">
      <alignment horizontal="left"/>
    </xf>
    <xf borderId="13" fillId="0" fontId="6" numFmtId="0" xfId="0" applyAlignment="1" applyBorder="1" applyFont="1">
      <alignment horizontal="left"/>
    </xf>
    <xf borderId="14" fillId="0" fontId="6" numFmtId="4" xfId="0" applyAlignment="1" applyBorder="1" applyFont="1" applyNumberFormat="1">
      <alignment horizontal="left"/>
    </xf>
    <xf borderId="15" fillId="0" fontId="6" numFmtId="4" xfId="0" applyAlignment="1" applyBorder="1" applyFont="1" applyNumberFormat="1">
      <alignment horizontal="left"/>
    </xf>
    <xf borderId="1" fillId="2" fontId="5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 shrinkToFit="0" wrapText="1"/>
    </xf>
    <xf borderId="6" fillId="0" fontId="1" numFmtId="165" xfId="0" applyAlignment="1" applyBorder="1" applyFont="1" applyNumberFormat="1">
      <alignment horizontal="left"/>
    </xf>
    <xf borderId="14" fillId="0" fontId="6" numFmtId="165" xfId="0" applyAlignment="1" applyBorder="1" applyFont="1" applyNumberFormat="1">
      <alignment horizontal="left"/>
    </xf>
    <xf borderId="15" fillId="0" fontId="6" numFmtId="165" xfId="0" applyAlignment="1" applyBorder="1" applyFont="1" applyNumberFormat="1">
      <alignment horizontal="left"/>
    </xf>
    <xf borderId="10" fillId="0" fontId="1" numFmtId="0" xfId="0" applyAlignment="1" applyBorder="1" applyFont="1">
      <alignment horizontal="left"/>
    </xf>
    <xf borderId="12" fillId="0" fontId="1" numFmtId="165" xfId="0" applyAlignment="1" applyBorder="1" applyFont="1" applyNumberFormat="1">
      <alignment horizontal="left"/>
    </xf>
    <xf borderId="13" fillId="0" fontId="1" numFmtId="0" xfId="0" applyBorder="1" applyFont="1"/>
    <xf borderId="15" fillId="0" fontId="7" numFmtId="165" xfId="0" applyAlignment="1" applyBorder="1" applyFont="1" applyNumberFormat="1">
      <alignment horizontal="left"/>
    </xf>
    <xf borderId="13" fillId="0" fontId="1" numFmtId="0" xfId="0" applyAlignment="1" applyBorder="1" applyFont="1">
      <alignment horizontal="left"/>
    </xf>
    <xf borderId="0" fillId="0" fontId="6" numFmtId="0" xfId="0" applyFont="1"/>
    <xf borderId="15" fillId="0" fontId="6" numFmtId="3" xfId="0" applyAlignment="1" applyBorder="1" applyFont="1" applyNumberFormat="1">
      <alignment horizontal="left"/>
    </xf>
    <xf borderId="6" fillId="0" fontId="1" numFmtId="10" xfId="0" applyAlignment="1" applyBorder="1" applyFont="1" applyNumberFormat="1">
      <alignment horizontal="left"/>
    </xf>
    <xf borderId="0" fillId="0" fontId="1" numFmtId="10" xfId="0" applyAlignment="1" applyFont="1" applyNumberFormat="1">
      <alignment horizontal="left"/>
    </xf>
    <xf borderId="16" fillId="0" fontId="1" numFmtId="0" xfId="0" applyAlignment="1" applyBorder="1" applyFont="1">
      <alignment horizontal="left"/>
    </xf>
    <xf borderId="17" fillId="0" fontId="1" numFmtId="9" xfId="0" applyAlignment="1" applyBorder="1" applyFont="1" applyNumberFormat="1">
      <alignment horizontal="left"/>
    </xf>
    <xf borderId="18" fillId="0" fontId="1" numFmtId="0" xfId="0" applyAlignment="1" applyBorder="1" applyFont="1">
      <alignment horizontal="left"/>
    </xf>
    <xf borderId="15" fillId="0" fontId="1" numFmtId="9" xfId="0" applyAlignment="1" applyBorder="1" applyFont="1" applyNumberFormat="1">
      <alignment horizontal="left"/>
    </xf>
    <xf borderId="0" fillId="0" fontId="6" numFmtId="2" xfId="0" applyAlignment="1" applyFont="1" applyNumberFormat="1">
      <alignment horizontal="left"/>
    </xf>
    <xf borderId="13" fillId="0" fontId="6" numFmtId="2" xfId="0" applyAlignment="1" applyBorder="1" applyFont="1" applyNumberFormat="1">
      <alignment horizontal="left"/>
    </xf>
    <xf borderId="19" fillId="0" fontId="6" numFmtId="165" xfId="0" applyAlignment="1" applyBorder="1" applyFont="1" applyNumberFormat="1">
      <alignment horizontal="left"/>
    </xf>
    <xf borderId="20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11" fillId="0" fontId="6" numFmtId="9" xfId="0" applyAlignment="1" applyBorder="1" applyFont="1" applyNumberFormat="1">
      <alignment horizontal="left"/>
    </xf>
    <xf borderId="22" fillId="0" fontId="6" numFmtId="165" xfId="0" applyAlignment="1" applyBorder="1" applyFont="1" applyNumberFormat="1">
      <alignment horizontal="left"/>
    </xf>
    <xf borderId="12" fillId="0" fontId="6" numFmtId="165" xfId="0" applyAlignment="1" applyBorder="1" applyFont="1" applyNumberFormat="1">
      <alignment horizontal="left"/>
    </xf>
    <xf borderId="0" fillId="0" fontId="8" numFmtId="165" xfId="0" applyAlignment="1" applyFont="1" applyNumberFormat="1">
      <alignment horizontal="left"/>
    </xf>
    <xf borderId="10" fillId="4" fontId="9" numFmtId="0" xfId="0" applyAlignment="1" applyBorder="1" applyFill="1" applyFont="1">
      <alignment horizontal="left"/>
    </xf>
    <xf borderId="7" fillId="4" fontId="9" numFmtId="0" xfId="0" applyAlignment="1" applyBorder="1" applyFont="1">
      <alignment horizontal="left"/>
    </xf>
    <xf borderId="1" fillId="5" fontId="10" numFmtId="0" xfId="0" applyAlignment="1" applyBorder="1" applyFill="1" applyFont="1">
      <alignment horizontal="center"/>
    </xf>
    <xf borderId="16" fillId="0" fontId="6" numFmtId="0" xfId="0" applyAlignment="1" applyBorder="1" applyFont="1">
      <alignment horizontal="left"/>
    </xf>
    <xf borderId="23" fillId="0" fontId="6" numFmtId="0" xfId="0" applyAlignment="1" applyBorder="1" applyFont="1">
      <alignment horizontal="left"/>
    </xf>
    <xf borderId="24" fillId="0" fontId="6" numFmtId="165" xfId="0" applyAlignment="1" applyBorder="1" applyFont="1" applyNumberFormat="1">
      <alignment horizontal="left"/>
    </xf>
    <xf borderId="14" fillId="0" fontId="6" numFmtId="0" xfId="0" applyAlignment="1" applyBorder="1" applyFont="1">
      <alignment horizontal="left"/>
    </xf>
    <xf borderId="25" fillId="0" fontId="1" numFmtId="0" xfId="0" applyAlignment="1" applyBorder="1" applyFont="1">
      <alignment horizontal="left"/>
    </xf>
    <xf borderId="26" fillId="0" fontId="6" numFmtId="165" xfId="0" applyAlignment="1" applyBorder="1" applyFont="1" applyNumberFormat="1">
      <alignment horizontal="left"/>
    </xf>
    <xf borderId="27" fillId="0" fontId="6" numFmtId="164" xfId="0" applyAlignment="1" applyBorder="1" applyFont="1" applyNumberFormat="1">
      <alignment horizontal="left"/>
    </xf>
    <xf borderId="13" fillId="0" fontId="6" numFmtId="165" xfId="0" applyAlignment="1" applyBorder="1" applyFont="1" applyNumberFormat="1">
      <alignment horizontal="left"/>
    </xf>
    <xf borderId="15" fillId="0" fontId="6" numFmtId="0" xfId="0" applyAlignment="1" applyBorder="1" applyFont="1">
      <alignment horizontal="left"/>
    </xf>
    <xf borderId="0" fillId="0" fontId="6" numFmtId="165" xfId="0" applyAlignment="1" applyFont="1" applyNumberFormat="1">
      <alignment horizontal="left"/>
    </xf>
    <xf borderId="19" fillId="0" fontId="6" numFmtId="0" xfId="0" applyAlignment="1" applyBorder="1" applyFont="1">
      <alignment horizontal="left"/>
    </xf>
    <xf borderId="0" fillId="0" fontId="6" numFmtId="9" xfId="0" applyAlignment="1" applyFont="1" applyNumberFormat="1">
      <alignment horizontal="left"/>
    </xf>
    <xf borderId="26" fillId="0" fontId="6" numFmtId="9" xfId="0" applyAlignment="1" applyBorder="1" applyFont="1" applyNumberFormat="1">
      <alignment horizontal="left"/>
    </xf>
    <xf borderId="4" fillId="2" fontId="11" numFmtId="0" xfId="0" applyAlignment="1" applyBorder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center" vertical="center"/>
    </xf>
    <xf borderId="0" fillId="0" fontId="7" numFmtId="0" xfId="0" applyFont="1"/>
    <xf borderId="10" fillId="0" fontId="12" numFmtId="0" xfId="0" applyBorder="1" applyFont="1"/>
    <xf borderId="11" fillId="0" fontId="13" numFmtId="165" xfId="0" applyBorder="1" applyFont="1" applyNumberFormat="1"/>
    <xf borderId="12" fillId="0" fontId="14" numFmtId="165" xfId="0" applyBorder="1" applyFont="1" applyNumberFormat="1"/>
    <xf borderId="0" fillId="0" fontId="15" numFmtId="0" xfId="0" applyFont="1"/>
    <xf borderId="10" fillId="0" fontId="12" numFmtId="4" xfId="0" applyAlignment="1" applyBorder="1" applyFont="1" applyNumberFormat="1">
      <alignment horizontal="left" shrinkToFit="0" wrapText="1"/>
    </xf>
    <xf borderId="10" fillId="0" fontId="14" numFmtId="0" xfId="0" applyBorder="1" applyFont="1"/>
    <xf borderId="12" fillId="0" fontId="14" numFmtId="0" xfId="0" applyBorder="1" applyFont="1"/>
    <xf borderId="10" fillId="6" fontId="16" numFmtId="0" xfId="0" applyBorder="1" applyFill="1" applyFont="1"/>
    <xf borderId="11" fillId="6" fontId="16" numFmtId="165" xfId="0" applyBorder="1" applyFont="1" applyNumberFormat="1"/>
    <xf borderId="12" fillId="6" fontId="16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25.5"/>
    <col customWidth="1" min="3" max="3" width="19.0"/>
    <col customWidth="1" min="4" max="4" width="20.13"/>
    <col customWidth="1" min="5" max="5" width="20.75"/>
    <col customWidth="1" min="6" max="6" width="12.5"/>
    <col customWidth="1" min="7" max="7" width="24.5"/>
    <col customWidth="1" min="8" max="8" width="14.0"/>
    <col customWidth="1" min="9" max="9" width="12.5"/>
    <col customWidth="1" min="10" max="10" width="17.63"/>
    <col customWidth="1" min="11" max="28" width="12.5"/>
  </cols>
  <sheetData>
    <row r="1" ht="62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1"/>
      <c r="B2" s="5"/>
      <c r="C2" s="5"/>
      <c r="D2" s="5"/>
      <c r="E2" s="5"/>
      <c r="F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1"/>
      <c r="B3" s="5" t="s">
        <v>1</v>
      </c>
      <c r="C3" s="5"/>
      <c r="D3" s="5"/>
      <c r="E3" s="5"/>
      <c r="F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.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5.75" customHeight="1">
      <c r="A5" s="1"/>
      <c r="B5" s="6" t="s">
        <v>2</v>
      </c>
      <c r="C5" s="7" t="s">
        <v>3</v>
      </c>
      <c r="D5" s="8" t="s">
        <v>4</v>
      </c>
      <c r="E5" s="9">
        <f>SUM(C6:C8)</f>
        <v>1</v>
      </c>
      <c r="F5" s="5"/>
      <c r="G5" s="10" t="s">
        <v>5</v>
      </c>
      <c r="H5" s="11">
        <f>($D$13+$D$19+F22+$C$32+$D$38)+$B$42*($D$13+$D$19+$D$38)*0.7</f>
        <v>8.37894987</v>
      </c>
      <c r="J5" s="10" t="s">
        <v>6</v>
      </c>
      <c r="K5" s="12">
        <v>4.0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1"/>
      <c r="B6" s="13" t="s">
        <v>7</v>
      </c>
      <c r="C6" s="14">
        <v>1.0</v>
      </c>
      <c r="D6" s="15">
        <v>100.0</v>
      </c>
      <c r="E6" s="16"/>
      <c r="F6" s="16"/>
      <c r="G6" s="10" t="s">
        <v>8</v>
      </c>
      <c r="H6" s="12">
        <v>1.0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5.75" customHeight="1">
      <c r="A7" s="1"/>
      <c r="B7" s="13"/>
      <c r="C7" s="14"/>
      <c r="D7" s="15"/>
      <c r="E7" s="16"/>
      <c r="F7" s="16"/>
      <c r="G7" s="17" t="s">
        <v>9</v>
      </c>
      <c r="H7" s="18">
        <f>H5/H6</f>
        <v>8.37894987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5.75" customHeight="1">
      <c r="A8" s="1"/>
      <c r="B8" s="19"/>
      <c r="C8" s="20"/>
      <c r="D8" s="21"/>
      <c r="E8" s="5"/>
      <c r="F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1"/>
      <c r="B9" s="16"/>
      <c r="C9" s="16"/>
      <c r="D9" s="16"/>
      <c r="E9" s="5"/>
      <c r="F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75" customHeight="1">
      <c r="A10" s="1"/>
      <c r="B10" s="22" t="s">
        <v>10</v>
      </c>
      <c r="C10" s="3"/>
      <c r="D10" s="3"/>
      <c r="E10" s="4"/>
      <c r="F10" s="1"/>
      <c r="G10" s="22" t="s">
        <v>11</v>
      </c>
      <c r="H10" s="3"/>
      <c r="I10" s="3"/>
      <c r="J10" s="3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5"/>
      <c r="C11" s="5"/>
      <c r="D11" s="5"/>
      <c r="E11" s="16"/>
      <c r="F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5.75" customHeight="1">
      <c r="A12" s="1"/>
      <c r="B12" s="23" t="s">
        <v>12</v>
      </c>
      <c r="C12" s="24" t="s">
        <v>13</v>
      </c>
      <c r="D12" s="25" t="s">
        <v>14</v>
      </c>
      <c r="E12" s="16"/>
      <c r="F12" s="16"/>
      <c r="G12" s="26" t="s">
        <v>15</v>
      </c>
      <c r="H12" s="27">
        <f>H7*K5</f>
        <v>33.51579948</v>
      </c>
      <c r="I12" s="16"/>
      <c r="J12" s="23" t="s">
        <v>16</v>
      </c>
      <c r="K12" s="27">
        <f>H12/2</f>
        <v>16.75789974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5.75" customHeight="1">
      <c r="A13" s="1"/>
      <c r="B13" s="19" t="s">
        <v>17</v>
      </c>
      <c r="C13" s="28">
        <v>60.0</v>
      </c>
      <c r="D13" s="29">
        <f>SUM(D6:D8)/1000*C13</f>
        <v>6</v>
      </c>
      <c r="E13" s="16"/>
      <c r="F13" s="16"/>
      <c r="G13" s="30" t="s">
        <v>18</v>
      </c>
      <c r="H13" s="31">
        <f>H12-H7</f>
        <v>25.13684961</v>
      </c>
      <c r="I13" s="1"/>
      <c r="J13" s="30" t="s">
        <v>18</v>
      </c>
      <c r="K13" s="31">
        <f>K12-H7</f>
        <v>8.37894987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5.75" customHeight="1">
      <c r="A14" s="1"/>
      <c r="B14" s="16"/>
      <c r="C14" s="16"/>
      <c r="D14" s="16"/>
      <c r="E14" s="16"/>
      <c r="F14" s="16"/>
      <c r="G14" s="32" t="s">
        <v>19</v>
      </c>
      <c r="H14" s="33">
        <f>H13-(H13*H16)-(H13*H17)-(H13*H18)</f>
        <v>16.84168924</v>
      </c>
      <c r="I14" s="1"/>
      <c r="J14" s="34" t="s">
        <v>19</v>
      </c>
      <c r="K14" s="33">
        <f>K13-(K13*H16)</f>
        <v>7.70863388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5.75" customHeight="1">
      <c r="A15" s="1"/>
      <c r="B15" s="23" t="s">
        <v>20</v>
      </c>
      <c r="C15" s="25" t="s">
        <v>21</v>
      </c>
      <c r="D15" s="16"/>
      <c r="E15" s="16"/>
      <c r="F15" s="16"/>
      <c r="G15" s="35"/>
      <c r="H15" s="35"/>
      <c r="I15" s="35"/>
      <c r="J15" s="35"/>
      <c r="K15" s="1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5.75" customHeight="1">
      <c r="A16" s="1"/>
      <c r="B16" s="19" t="s">
        <v>22</v>
      </c>
      <c r="C16" s="36">
        <v>350.0</v>
      </c>
      <c r="D16" s="16"/>
      <c r="E16" s="1"/>
      <c r="F16" s="1"/>
      <c r="G16" s="23" t="s">
        <v>23</v>
      </c>
      <c r="H16" s="37">
        <v>0.08</v>
      </c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16"/>
      <c r="C17" s="16"/>
      <c r="D17" s="16"/>
      <c r="E17" s="16"/>
      <c r="F17" s="16"/>
      <c r="G17" s="39" t="s">
        <v>24</v>
      </c>
      <c r="H17" s="40">
        <v>0.05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5.75" customHeight="1">
      <c r="A18" s="1"/>
      <c r="B18" s="23" t="s">
        <v>25</v>
      </c>
      <c r="C18" s="41" t="s">
        <v>26</v>
      </c>
      <c r="D18" s="25" t="s">
        <v>27</v>
      </c>
      <c r="E18" s="16"/>
      <c r="F18" s="16"/>
      <c r="G18" s="34" t="s">
        <v>28</v>
      </c>
      <c r="H18" s="42">
        <v>0.2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5.75" customHeight="1">
      <c r="A19" s="43"/>
      <c r="B19" s="44">
        <f>(C16/1000)*E5</f>
        <v>0.35</v>
      </c>
      <c r="C19" s="45">
        <v>0.84</v>
      </c>
      <c r="D19" s="29">
        <f>B19*C19/1000</f>
        <v>0.000294</v>
      </c>
      <c r="E19" s="16"/>
      <c r="F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5.75" customHeight="1">
      <c r="A20" s="16"/>
      <c r="B20" s="16"/>
      <c r="C20" s="16"/>
      <c r="D20" s="16"/>
      <c r="E20" s="16"/>
      <c r="F20" s="16"/>
      <c r="G20" s="23" t="s">
        <v>29</v>
      </c>
      <c r="H20" s="46" t="s">
        <v>30</v>
      </c>
      <c r="I20" s="46" t="s">
        <v>31</v>
      </c>
      <c r="J20" s="41" t="s">
        <v>32</v>
      </c>
      <c r="K20" s="25" t="s">
        <v>33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1"/>
      <c r="B21" s="47" t="s">
        <v>34</v>
      </c>
      <c r="C21" s="46" t="s">
        <v>35</v>
      </c>
      <c r="D21" s="41" t="s">
        <v>36</v>
      </c>
      <c r="E21" s="25" t="s">
        <v>33</v>
      </c>
      <c r="F21" s="16"/>
      <c r="G21" s="13" t="s">
        <v>37</v>
      </c>
      <c r="H21" s="48" t="s">
        <v>38</v>
      </c>
      <c r="I21" s="49">
        <v>0.14</v>
      </c>
      <c r="J21" s="50">
        <v>6.75</v>
      </c>
      <c r="K21" s="51">
        <f>H12+(H12*I21)+J21</f>
        <v>44.95801141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16"/>
      <c r="B22" s="13" t="s">
        <v>39</v>
      </c>
      <c r="C22" s="48"/>
      <c r="D22" s="50">
        <v>0.0</v>
      </c>
      <c r="E22" s="51">
        <f t="shared" ref="E22:E28" si="1">D22*C22</f>
        <v>0</v>
      </c>
      <c r="F22" s="52">
        <f>SUM(E22:E28)</f>
        <v>0</v>
      </c>
      <c r="G22" s="53" t="s">
        <v>40</v>
      </c>
      <c r="H22" s="48" t="s">
        <v>41</v>
      </c>
      <c r="I22" s="49">
        <v>0.2</v>
      </c>
      <c r="J22" s="50">
        <v>4.0</v>
      </c>
      <c r="K22" s="51">
        <f>H12+(H12*I22)+J22</f>
        <v>44.21895938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54"/>
      <c r="B23" s="53" t="s">
        <v>42</v>
      </c>
      <c r="C23" s="48"/>
      <c r="D23" s="50">
        <v>0.0</v>
      </c>
      <c r="E23" s="51">
        <f t="shared" si="1"/>
        <v>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54"/>
      <c r="B24" s="53"/>
      <c r="C24" s="48"/>
      <c r="D24" s="50"/>
      <c r="E24" s="51">
        <f t="shared" si="1"/>
        <v>0</v>
      </c>
      <c r="F24" s="16"/>
      <c r="G24" s="55" t="s">
        <v>43</v>
      </c>
      <c r="H24" s="3"/>
      <c r="I24" s="3"/>
      <c r="J24" s="3"/>
      <c r="K24" s="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54"/>
      <c r="B25" s="53"/>
      <c r="C25" s="48"/>
      <c r="D25" s="50"/>
      <c r="E25" s="51">
        <f t="shared" si="1"/>
        <v>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6"/>
      <c r="B26" s="13"/>
      <c r="C26" s="48"/>
      <c r="D26" s="50"/>
      <c r="E26" s="51">
        <f t="shared" si="1"/>
        <v>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16"/>
      <c r="B27" s="56"/>
      <c r="C27" s="57"/>
      <c r="D27" s="58"/>
      <c r="E27" s="51">
        <f t="shared" si="1"/>
        <v>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6"/>
      <c r="B28" s="19"/>
      <c r="C28" s="59"/>
      <c r="D28" s="45"/>
      <c r="E28" s="29">
        <f t="shared" si="1"/>
        <v>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5"/>
      <c r="B31" s="60" t="s">
        <v>44</v>
      </c>
      <c r="C31" s="60" t="s">
        <v>45</v>
      </c>
      <c r="D31" s="47" t="s">
        <v>46</v>
      </c>
      <c r="E31" s="25" t="s">
        <v>47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ht="15.75" customHeight="1">
      <c r="A32" s="16"/>
      <c r="B32" s="61">
        <f>'CUSTO FIXO'!B15</f>
        <v>1.5</v>
      </c>
      <c r="C32" s="62">
        <f>E5*B32</f>
        <v>1.5</v>
      </c>
      <c r="D32" s="63">
        <f>'CUSTO FIXO'!C15</f>
        <v>240</v>
      </c>
      <c r="E32" s="64">
        <f>D32/C32</f>
        <v>160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ht="15.75" customHeight="1">
      <c r="A33" s="16"/>
      <c r="B33" s="65"/>
      <c r="C33" s="16"/>
      <c r="D33" s="6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6"/>
      <c r="B37" s="47" t="s">
        <v>48</v>
      </c>
      <c r="C37" s="24" t="s">
        <v>49</v>
      </c>
      <c r="D37" s="25" t="s">
        <v>50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6"/>
      <c r="B38" s="19">
        <v>20000.0</v>
      </c>
      <c r="C38" s="66">
        <v>4500.0</v>
      </c>
      <c r="D38" s="29">
        <f>C38/B38*E5</f>
        <v>0.225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67"/>
      <c r="B41" s="60" t="s">
        <v>51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6"/>
      <c r="B42" s="68">
        <v>0.15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K1"/>
    <mergeCell ref="B10:E10"/>
    <mergeCell ref="G10:K10"/>
    <mergeCell ref="G24:K2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5.5"/>
    <col customWidth="1" min="3" max="3" width="15.75"/>
    <col customWidth="1" min="4" max="4" width="8.63"/>
    <col customWidth="1" min="5" max="5" width="47.63"/>
    <col customWidth="1" min="6" max="26" width="8.63"/>
  </cols>
  <sheetData>
    <row r="1" ht="12.75" customHeight="1">
      <c r="A1" s="69" t="s">
        <v>52</v>
      </c>
      <c r="B1" s="70" t="s">
        <v>53</v>
      </c>
      <c r="C1" s="71" t="s">
        <v>54</v>
      </c>
      <c r="E1" s="72" t="s">
        <v>55</v>
      </c>
    </row>
    <row r="2" ht="12.75" customHeight="1">
      <c r="A2" s="73" t="s">
        <v>56</v>
      </c>
      <c r="B2" s="74">
        <f t="shared" ref="B2:B14" si="1">C2/$E$2</f>
        <v>0.875</v>
      </c>
      <c r="C2" s="75">
        <v>140.0</v>
      </c>
      <c r="E2" s="76">
        <v>160.0</v>
      </c>
    </row>
    <row r="3" ht="12.75" customHeight="1">
      <c r="A3" s="73" t="s">
        <v>57</v>
      </c>
      <c r="B3" s="74">
        <f t="shared" si="1"/>
        <v>0</v>
      </c>
      <c r="C3" s="75">
        <v>0.0</v>
      </c>
    </row>
    <row r="4" ht="12.75" customHeight="1">
      <c r="A4" s="77" t="s">
        <v>58</v>
      </c>
      <c r="B4" s="74">
        <f t="shared" si="1"/>
        <v>0</v>
      </c>
      <c r="C4" s="75">
        <v>0.0</v>
      </c>
    </row>
    <row r="5" ht="12.75" customHeight="1">
      <c r="A5" s="73" t="s">
        <v>59</v>
      </c>
      <c r="B5" s="74">
        <f t="shared" si="1"/>
        <v>0.625</v>
      </c>
      <c r="C5" s="75">
        <v>100.0</v>
      </c>
    </row>
    <row r="6" ht="12.75" customHeight="1">
      <c r="A6" s="73" t="s">
        <v>60</v>
      </c>
      <c r="B6" s="74">
        <f t="shared" si="1"/>
        <v>0</v>
      </c>
      <c r="C6" s="75">
        <v>0.0</v>
      </c>
    </row>
    <row r="7" ht="12.75" customHeight="1">
      <c r="A7" s="73" t="s">
        <v>61</v>
      </c>
      <c r="B7" s="74">
        <f t="shared" si="1"/>
        <v>0</v>
      </c>
      <c r="C7" s="75">
        <v>0.0</v>
      </c>
    </row>
    <row r="8" ht="12.75" customHeight="1">
      <c r="A8" s="73" t="s">
        <v>62</v>
      </c>
      <c r="B8" s="74">
        <f t="shared" si="1"/>
        <v>0</v>
      </c>
      <c r="C8" s="75">
        <v>0.0</v>
      </c>
    </row>
    <row r="9" ht="12.75" customHeight="1">
      <c r="A9" s="73" t="s">
        <v>63</v>
      </c>
      <c r="B9" s="74">
        <f t="shared" si="1"/>
        <v>0</v>
      </c>
      <c r="C9" s="75"/>
    </row>
    <row r="10" ht="12.75" customHeight="1">
      <c r="A10" s="73" t="s">
        <v>64</v>
      </c>
      <c r="B10" s="74">
        <f t="shared" si="1"/>
        <v>0</v>
      </c>
      <c r="C10" s="75"/>
    </row>
    <row r="11" ht="12.75" customHeight="1">
      <c r="A11" s="78"/>
      <c r="B11" s="74">
        <f t="shared" si="1"/>
        <v>0</v>
      </c>
      <c r="C11" s="79"/>
    </row>
    <row r="12" ht="12.75" customHeight="1">
      <c r="A12" s="78"/>
      <c r="B12" s="74">
        <f t="shared" si="1"/>
        <v>0</v>
      </c>
      <c r="C12" s="79"/>
    </row>
    <row r="13" ht="12.75" customHeight="1">
      <c r="A13" s="78"/>
      <c r="B13" s="74">
        <f t="shared" si="1"/>
        <v>0</v>
      </c>
      <c r="C13" s="79"/>
    </row>
    <row r="14" ht="12.75" customHeight="1">
      <c r="A14" s="78"/>
      <c r="B14" s="74">
        <f t="shared" si="1"/>
        <v>0</v>
      </c>
      <c r="C14" s="79"/>
    </row>
    <row r="15" ht="12.75" customHeight="1">
      <c r="A15" s="80" t="s">
        <v>65</v>
      </c>
      <c r="B15" s="81">
        <f t="shared" ref="B15:C15" si="2">SUM(B2:B14)</f>
        <v>1.5</v>
      </c>
      <c r="C15" s="82">
        <f t="shared" si="2"/>
        <v>240</v>
      </c>
    </row>
    <row r="16" ht="12.75" customHeight="1">
      <c r="A16" s="16"/>
      <c r="B16" s="16"/>
      <c r="C16" s="65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2025-05-19T21:48:33Z</dcterms:created>
  <dc:creator>Devnull</dc:creator>
</cp:coreProperties>
</file>